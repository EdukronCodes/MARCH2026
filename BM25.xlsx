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BM25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6" i="1" l="1"/>
  <c r="F55" i="1"/>
  <c r="G31" i="1"/>
  <c r="F30" i="1"/>
  <c r="G27" i="1"/>
  <c r="G26" i="1"/>
  <c r="F25" i="1"/>
  <c r="E26" i="1"/>
  <c r="E25" i="1"/>
  <c r="G8" i="1"/>
</calcChain>
</file>

<file path=xl/sharedStrings.xml><?xml version="1.0" encoding="utf-8"?>
<sst xmlns="http://schemas.openxmlformats.org/spreadsheetml/2006/main" count="61" uniqueCount="47">
  <si>
    <t>Vector Databases</t>
  </si>
  <si>
    <t>Chroma DB</t>
  </si>
  <si>
    <t>PineCone</t>
  </si>
  <si>
    <t>FAISIs</t>
  </si>
  <si>
    <t>BM25</t>
  </si>
  <si>
    <t>d1</t>
  </si>
  <si>
    <t>d2</t>
  </si>
  <si>
    <t>d3</t>
  </si>
  <si>
    <t>machine learning is fun</t>
  </si>
  <si>
    <t>machine learning and deep learning</t>
  </si>
  <si>
    <t xml:space="preserve">deep learning models are powerful </t>
  </si>
  <si>
    <t>query</t>
  </si>
  <si>
    <t>machine learning</t>
  </si>
  <si>
    <t>t1</t>
  </si>
  <si>
    <t>t2</t>
  </si>
  <si>
    <t>machine</t>
  </si>
  <si>
    <t>learning</t>
  </si>
  <si>
    <t>length</t>
  </si>
  <si>
    <t>Average DL</t>
  </si>
  <si>
    <t>Term Frequency</t>
  </si>
  <si>
    <t>TF</t>
  </si>
  <si>
    <t>DF</t>
  </si>
  <si>
    <t>IDF</t>
  </si>
  <si>
    <t>ln((N-DF+0.5/(DF+0.5))+1)</t>
  </si>
  <si>
    <t>IDF(Machine)</t>
  </si>
  <si>
    <t>IDF(Learning)</t>
  </si>
  <si>
    <t>BM 25 Formula</t>
  </si>
  <si>
    <t>Hyperparameter</t>
  </si>
  <si>
    <t>k1 value</t>
  </si>
  <si>
    <t>1.2-2.0</t>
  </si>
  <si>
    <t>very high</t>
  </si>
  <si>
    <t>TF is ignored</t>
  </si>
  <si>
    <t>low boost for repeated terms</t>
  </si>
  <si>
    <t>Normal recommend</t>
  </si>
  <si>
    <t>TF behaves like tf idf</t>
  </si>
  <si>
    <t xml:space="preserve">k1 </t>
  </si>
  <si>
    <t>Length normalization</t>
  </si>
  <si>
    <t>b=0.75</t>
  </si>
  <si>
    <t>1-0.75+0.75*(4/4.67)</t>
  </si>
  <si>
    <t>Normalized Length</t>
  </si>
  <si>
    <t>1-0.75+0.75*(5/4.67)</t>
  </si>
  <si>
    <t>BM25(d1)</t>
  </si>
  <si>
    <t xml:space="preserve">term </t>
  </si>
  <si>
    <t xml:space="preserve">machine </t>
  </si>
  <si>
    <t>Important word score</t>
  </si>
  <si>
    <t>frquency boost</t>
  </si>
  <si>
    <t xml:space="preserve">length penalty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</si>
</sst>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27508</xdr:colOff>
      <xdr:row>5</xdr:row>
      <xdr:rowOff>110021</xdr:rowOff>
    </xdr:from>
    <xdr:to>
      <xdr:col>16</xdr:col>
      <xdr:colOff>63494</xdr:colOff>
      <xdr:row>11</xdr:row>
      <xdr:rowOff>2524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8308" y="1024421"/>
          <a:ext cx="3693586" cy="987161"/>
        </a:xfrm>
        <a:prstGeom prst="rect">
          <a:avLst/>
        </a:prstGeom>
      </xdr:spPr>
    </xdr:pic>
    <xdr:clientData/>
  </xdr:twoCellAnchor>
  <xdr:twoCellAnchor editAs="oneCell">
    <xdr:from>
      <xdr:col>10</xdr:col>
      <xdr:colOff>47261</xdr:colOff>
      <xdr:row>12</xdr:row>
      <xdr:rowOff>153259</xdr:rowOff>
    </xdr:from>
    <xdr:to>
      <xdr:col>16</xdr:col>
      <xdr:colOff>242929</xdr:colOff>
      <xdr:row>17</xdr:row>
      <xdr:rowOff>173178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8061" y="2347819"/>
          <a:ext cx="3853268" cy="934319"/>
        </a:xfrm>
        <a:prstGeom prst="rect">
          <a:avLst/>
        </a:prstGeom>
      </xdr:spPr>
    </xdr:pic>
    <xdr:clientData/>
  </xdr:twoCellAnchor>
  <xdr:twoCellAnchor editAs="oneCell">
    <xdr:from>
      <xdr:col>10</xdr:col>
      <xdr:colOff>40946</xdr:colOff>
      <xdr:row>20</xdr:row>
      <xdr:rowOff>86260</xdr:rowOff>
    </xdr:from>
    <xdr:to>
      <xdr:col>16</xdr:col>
      <xdr:colOff>512247</xdr:colOff>
      <xdr:row>25</xdr:row>
      <xdr:rowOff>81280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1746" y="3743860"/>
          <a:ext cx="4128901" cy="909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4</xdr:col>
      <xdr:colOff>459088</xdr:colOff>
      <xdr:row>76</xdr:row>
      <xdr:rowOff>19919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609" y="12898490"/>
          <a:ext cx="3860333" cy="9282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7"/>
  <sheetViews>
    <sheetView tabSelected="1" topLeftCell="J11" zoomScale="156" workbookViewId="0">
      <selection activeCell="C23" sqref="C23"/>
    </sheetView>
  </sheetViews>
  <sheetFormatPr defaultRowHeight="14.4" x14ac:dyDescent="0.3"/>
  <cols>
    <col min="4" max="4" width="31.77734375" bestFit="1" customWidth="1"/>
  </cols>
  <sheetData>
    <row r="2" spans="2:9" x14ac:dyDescent="0.3">
      <c r="C2" t="s">
        <v>0</v>
      </c>
      <c r="F2" t="s">
        <v>1</v>
      </c>
    </row>
    <row r="3" spans="2:9" x14ac:dyDescent="0.3">
      <c r="F3" t="s">
        <v>2</v>
      </c>
    </row>
    <row r="4" spans="2:9" x14ac:dyDescent="0.3">
      <c r="F4" t="s">
        <v>3</v>
      </c>
      <c r="I4" t="s">
        <v>4</v>
      </c>
    </row>
    <row r="6" spans="2:9" x14ac:dyDescent="0.3">
      <c r="E6" t="s">
        <v>17</v>
      </c>
    </row>
    <row r="7" spans="2:9" x14ac:dyDescent="0.3">
      <c r="C7" t="s">
        <v>5</v>
      </c>
      <c r="D7" t="s">
        <v>8</v>
      </c>
      <c r="E7">
        <v>4</v>
      </c>
      <c r="G7" t="s">
        <v>18</v>
      </c>
    </row>
    <row r="8" spans="2:9" x14ac:dyDescent="0.3">
      <c r="C8" t="s">
        <v>6</v>
      </c>
      <c r="D8" t="s">
        <v>9</v>
      </c>
      <c r="E8">
        <v>5</v>
      </c>
      <c r="G8">
        <f>14/3</f>
        <v>4.666666666666667</v>
      </c>
    </row>
    <row r="9" spans="2:9" x14ac:dyDescent="0.3">
      <c r="C9" t="s">
        <v>7</v>
      </c>
      <c r="D9" t="s">
        <v>10</v>
      </c>
      <c r="E9">
        <v>5</v>
      </c>
    </row>
    <row r="11" spans="2:9" x14ac:dyDescent="0.3">
      <c r="B11" t="s">
        <v>19</v>
      </c>
      <c r="C11" t="s">
        <v>11</v>
      </c>
      <c r="D11" t="s">
        <v>12</v>
      </c>
    </row>
    <row r="12" spans="2:9" x14ac:dyDescent="0.3">
      <c r="C12" s="1"/>
      <c r="D12" s="1"/>
      <c r="E12" s="1" t="s">
        <v>5</v>
      </c>
      <c r="F12" s="1" t="s">
        <v>6</v>
      </c>
      <c r="G12" s="1" t="s">
        <v>7</v>
      </c>
    </row>
    <row r="13" spans="2:9" x14ac:dyDescent="0.3">
      <c r="B13" t="s">
        <v>20</v>
      </c>
      <c r="C13" s="1" t="s">
        <v>13</v>
      </c>
      <c r="D13" s="1" t="s">
        <v>15</v>
      </c>
      <c r="E13" s="1">
        <v>1</v>
      </c>
      <c r="F13" s="1">
        <v>1</v>
      </c>
      <c r="G13" s="1">
        <v>0</v>
      </c>
    </row>
    <row r="14" spans="2:9" x14ac:dyDescent="0.3">
      <c r="C14" s="1" t="s">
        <v>14</v>
      </c>
      <c r="D14" s="1" t="s">
        <v>16</v>
      </c>
      <c r="E14" s="1">
        <v>1</v>
      </c>
      <c r="F14" s="1">
        <v>2</v>
      </c>
      <c r="G14" s="1">
        <v>1</v>
      </c>
    </row>
    <row r="18" spans="2:7" x14ac:dyDescent="0.3">
      <c r="B18" t="s">
        <v>21</v>
      </c>
      <c r="C18" s="1" t="s">
        <v>13</v>
      </c>
      <c r="D18" s="1" t="s">
        <v>15</v>
      </c>
      <c r="E18" s="2">
        <v>2</v>
      </c>
    </row>
    <row r="19" spans="2:7" x14ac:dyDescent="0.3">
      <c r="C19" s="1" t="s">
        <v>14</v>
      </c>
      <c r="D19" s="1" t="s">
        <v>16</v>
      </c>
      <c r="E19" s="2">
        <v>3</v>
      </c>
    </row>
    <row r="23" spans="2:7" x14ac:dyDescent="0.3">
      <c r="B23" t="s">
        <v>22</v>
      </c>
      <c r="C23" t="s">
        <v>23</v>
      </c>
    </row>
    <row r="25" spans="2:7" x14ac:dyDescent="0.3">
      <c r="B25" t="s">
        <v>24</v>
      </c>
      <c r="E25">
        <f>3-2+0.5</f>
        <v>1.5</v>
      </c>
      <c r="F25">
        <f>E25/E26</f>
        <v>0.6</v>
      </c>
      <c r="G25">
        <v>1</v>
      </c>
    </row>
    <row r="26" spans="2:7" x14ac:dyDescent="0.3">
      <c r="E26">
        <f>2+0.5</f>
        <v>2.5</v>
      </c>
      <c r="G26">
        <f>F25+G25</f>
        <v>1.6</v>
      </c>
    </row>
    <row r="27" spans="2:7" x14ac:dyDescent="0.3">
      <c r="G27">
        <f>LN(1.6)</f>
        <v>0.47000362924573563</v>
      </c>
    </row>
    <row r="30" spans="2:7" x14ac:dyDescent="0.3">
      <c r="B30" t="s">
        <v>25</v>
      </c>
      <c r="E30">
        <v>0.5</v>
      </c>
      <c r="F30">
        <f>E30/E31</f>
        <v>0.14285714285714285</v>
      </c>
      <c r="G30">
        <v>1</v>
      </c>
    </row>
    <row r="31" spans="2:7" x14ac:dyDescent="0.3">
      <c r="E31">
        <v>3.5</v>
      </c>
      <c r="G31">
        <f>LN(1.14)</f>
        <v>0.131028262406404</v>
      </c>
    </row>
    <row r="34" spans="3:9" x14ac:dyDescent="0.3">
      <c r="C34" t="s">
        <v>26</v>
      </c>
    </row>
    <row r="37" spans="3:9" x14ac:dyDescent="0.3">
      <c r="C37" t="s">
        <v>28</v>
      </c>
    </row>
    <row r="38" spans="3:9" x14ac:dyDescent="0.3">
      <c r="C38">
        <v>0</v>
      </c>
      <c r="D38" t="s">
        <v>31</v>
      </c>
    </row>
    <row r="39" spans="3:9" x14ac:dyDescent="0.3">
      <c r="C39">
        <v>0.5</v>
      </c>
      <c r="D39" t="s">
        <v>32</v>
      </c>
    </row>
    <row r="40" spans="3:9" x14ac:dyDescent="0.3">
      <c r="C40" t="s">
        <v>29</v>
      </c>
      <c r="D40" t="s">
        <v>33</v>
      </c>
      <c r="I40" t="s">
        <v>27</v>
      </c>
    </row>
    <row r="41" spans="3:9" x14ac:dyDescent="0.3">
      <c r="C41" t="s">
        <v>30</v>
      </c>
      <c r="D41" t="s">
        <v>34</v>
      </c>
    </row>
    <row r="44" spans="3:9" x14ac:dyDescent="0.3">
      <c r="C44" t="s">
        <v>35</v>
      </c>
      <c r="D44">
        <v>1.2</v>
      </c>
    </row>
    <row r="47" spans="3:9" x14ac:dyDescent="0.3">
      <c r="C47" t="s">
        <v>36</v>
      </c>
    </row>
    <row r="48" spans="3:9" x14ac:dyDescent="0.3">
      <c r="C48" t="s">
        <v>37</v>
      </c>
    </row>
    <row r="50" spans="4:8" x14ac:dyDescent="0.3">
      <c r="D50" t="s">
        <v>5</v>
      </c>
      <c r="E50" t="s">
        <v>38</v>
      </c>
      <c r="H50" t="s">
        <v>39</v>
      </c>
    </row>
    <row r="51" spans="4:8" x14ac:dyDescent="0.3">
      <c r="D51" t="s">
        <v>6</v>
      </c>
      <c r="E51" t="s">
        <v>40</v>
      </c>
    </row>
    <row r="52" spans="4:8" x14ac:dyDescent="0.3">
      <c r="D52" t="s">
        <v>7</v>
      </c>
      <c r="E52" t="s">
        <v>40</v>
      </c>
    </row>
    <row r="55" spans="4:8" x14ac:dyDescent="0.3">
      <c r="E55">
        <v>0.25</v>
      </c>
      <c r="F55">
        <f>0.75*(4/4.67)</f>
        <v>0.64239828693790146</v>
      </c>
    </row>
    <row r="56" spans="4:8" x14ac:dyDescent="0.3">
      <c r="F56">
        <f>E55+F55</f>
        <v>0.89239828693790146</v>
      </c>
    </row>
    <row r="80" spans="2:6" x14ac:dyDescent="0.3">
      <c r="B80" t="s">
        <v>41</v>
      </c>
      <c r="D80" t="s">
        <v>42</v>
      </c>
      <c r="E80" t="s">
        <v>43</v>
      </c>
      <c r="F80" t="s">
        <v>16</v>
      </c>
    </row>
    <row r="82" spans="3:5" x14ac:dyDescent="0.3">
      <c r="C82" t="s">
        <v>15</v>
      </c>
    </row>
    <row r="85" spans="3:5" x14ac:dyDescent="0.3">
      <c r="D85" t="s">
        <v>4</v>
      </c>
      <c r="E85" t="s">
        <v>44</v>
      </c>
    </row>
    <row r="86" spans="3:5" x14ac:dyDescent="0.3">
      <c r="E86" t="s">
        <v>45</v>
      </c>
    </row>
    <row r="87" spans="3:5" x14ac:dyDescent="0.3">
      <c r="E87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2026-01-20T05:33:10Z</dcterms:created>
  <dcterms:modified xsi:type="dcterms:W3CDTF">2026-01-20T06:36:24Z</dcterms:modified>
</cp:coreProperties>
</file>